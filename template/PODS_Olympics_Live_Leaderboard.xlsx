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Schedule" sheetId="3" state="visible" r:id="rId5"/>
    <sheet name="Scor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<sst xmlns="http://schemas.openxmlformats.org/spreadsheetml/2006/main" count="154" uniqueCount="140">
  <si>
    <t xml:space="preserve">PODS Olympics Live Leaderboard</t>
  </si>
  <si>
    <t xml:space="preserve">This Google Sheet runs a live leaderboard website. Type points here and every phone, laptop, and TV with the link updates within 30 seconds.</t>
  </si>
  <si>
    <t xml:space="preserve">One-time setup (about 10 minutes, do it from the shared club Google account)</t>
  </si>
  <si>
    <t xml:space="preserve">1. Upload this file to Google Drive, open it, then File &gt; Save as Google Sheets. Work in the Google Sheets copy from now on.</t>
  </si>
  <si>
    <t xml:space="preserve">2. In the Google Sheet, click Extensions &gt; Apps Script.</t>
  </si>
  <si>
    <t xml:space="preserve">3. Delete everything in Code.gs and paste in the contents of the Code.gs file.</t>
  </si>
  <si>
    <t xml:space="preserve">4. Next to Files, click + &gt; HTML. Name it Index (no .html). Delete what's there and paste in Index.html. Click Save.</t>
  </si>
  <si>
    <t xml:space="preserve">5. Click the gear (Project Settings) and set the time zone to Pacific Time (Los Angeles).</t>
  </si>
  <si>
    <t xml:space="preserve">6. Click Deploy &gt; New deployment. Click the gear next to Select type and pick Web app.</t>
  </si>
  <si>
    <t xml:space="preserve">     Execute as: Me.   Who has access: Anyone.   Then click Deploy.</t>
  </si>
  <si>
    <t xml:space="preserve">7. Google asks for permission. Click Authorize, pick the club account, then Advanced &gt; Go to project. This is safe: it's your own script reading your own sheet.</t>
  </si>
  <si>
    <t xml:space="preserve">8. Go to Deploy &gt; Manage deployments and copy the Web app URL (ends in /exec). Paste it on the Settings tab next to Leaderboard link. That's the leaderboard: text it to the cohort or put it on the TV.</t>
  </si>
  <si>
    <t xml:space="preserve">9. Reload this sheet. A new menu called PODS Olympics appears at the top. Show leaderboard link brings the link back anytime.</t>
  </si>
  <si>
    <t xml:space="preserve">Optional but recommended: GitHub Pages link (fixes people signed into several Google accounts)</t>
  </si>
  <si>
    <t xml:space="preserve">Apps Script pages show "unable to open the file" for anyone signed into more than one Google account. The GitHub copy of the board avoids that.</t>
  </si>
  <si>
    <t xml:space="preserve">1. On GitHub, create a public repository (ideally under a club GitHub Organization). Upload index.html from the handoff folder.</t>
  </si>
  <si>
    <t xml:space="preserve">2. Repository Settings &gt; Pages &gt; Branch: main, folder: /(root) &gt; Save. After a minute it shows the link (something like name.github.io/pods-leaderboard).</t>
  </si>
  <si>
    <t xml:space="preserve">3. Paste that GitHub link on the Settings tab next to Leaderboard link. Share that link from now on.</t>
  </si>
  <si>
    <t xml:space="preserve">The GitHub page pulls scores from this sheet every 30 seconds, so nothing on GitHub ever needs updating during the event.</t>
  </si>
  <si>
    <t xml:space="preserve">Every day during the event</t>
  </si>
  <si>
    <t xml:space="preserve">Type points on the Scores tab. Blank cells count as zero. That's it: the board checks for new scores every 30 seconds, no saving or uploading.</t>
  </si>
  <si>
    <t xml:space="preserve">Use the Bonus row for extra points or penalties (negative numbers work). Arrows on the board show who moved up or down since the day before.</t>
  </si>
  <si>
    <t xml:space="preserve">Every new year</t>
  </si>
  <si>
    <t xml:space="preserve">1. Menu: PODS Olympics &gt; Start a new season. It saves last year's Scores as its own tab, clears the points, and moves the year up.</t>
  </si>
  <si>
    <t xml:space="preserve">2. Settings tab: update the Day 1 date and anything else that changed.</t>
  </si>
  <si>
    <t xml:space="preserve">3. Schedule tab: add, remove, or rename events. Set Scored? to No for events without points.</t>
  </si>
  <si>
    <t xml:space="preserve">4. Scores tab: put the new PODS leader names across row 1 and one row per scored event down column A (names should match the Schedule).</t>
  </si>
  <si>
    <t xml:space="preserve">The link stays the same every year. Never click Deploy &gt; New deployment (that makes a new link). To update code, use Manage deployments &gt; pencil icon &gt; New version.</t>
  </si>
  <si>
    <t xml:space="preserve">Handing it off</t>
  </si>
  <si>
    <t xml:space="preserve">Keep this sheet in the club account, or share it with next year's leaders as Editors. The website goes wherever the sheet goes.</t>
  </si>
  <si>
    <t xml:space="preserve">If whoever deployed it loses their account, the new owner repeats step 6 (Deploy &gt; New deployment), pastes the new /exec link into index.html on GitHub (the line marked "The only line to change"), and updates the Leaderboard link on Settings if it isn't the GitHub one.</t>
  </si>
  <si>
    <t xml:space="preserve">Only change the code if you know what you're changing. After any code edit: Deploy &gt; Manage deployments &gt; pencil icon &gt; Version: New version &gt; Deploy (keeps the same link).</t>
  </si>
  <si>
    <t xml:space="preserve">School Google accounts may block Who has access: Anyone. If so, deploy from a personal or club Gmail instead.</t>
  </si>
  <si>
    <t xml:space="preserve">Color key</t>
  </si>
  <si>
    <t xml:space="preserve">Yellow cells: type here</t>
  </si>
  <si>
    <t xml:space="preserve">Gray cells: calculated automatically, don't type here</t>
  </si>
  <si>
    <t xml:space="preserve">Setting</t>
  </si>
  <si>
    <t xml:space="preserve">Value</t>
  </si>
  <si>
    <t xml:space="preserve">What it does</t>
  </si>
  <si>
    <t xml:space="preserve">Board title</t>
  </si>
  <si>
    <t xml:space="preserve">PODS Olympics</t>
  </si>
  <si>
    <t xml:space="preserve">Big title at the top of the board</t>
  </si>
  <si>
    <t xml:space="preserve">Year</t>
  </si>
  <si>
    <t xml:space="preserve">2026</t>
  </si>
  <si>
    <t xml:space="preserve">Shown next to the title. Change it to start a new season</t>
  </si>
  <si>
    <t xml:space="preserve">Organization</t>
  </si>
  <si>
    <t xml:space="preserve">Pacific College Corps</t>
  </si>
  <si>
    <t xml:space="preserve">Shown under the title</t>
  </si>
  <si>
    <t xml:space="preserve">Day 1 date</t>
  </si>
  <si>
    <t xml:space="preserve">First day of the competition</t>
  </si>
  <si>
    <t xml:space="preserve">Number of days</t>
  </si>
  <si>
    <t xml:space="preserve">How many days the competition runs</t>
  </si>
  <si>
    <t xml:space="preserve">Leaderboard link</t>
  </si>
  <si>
    <t xml:space="preserve">Paste the Web app URL from Deploy &gt; Manage deployments (ends in /exec)</t>
  </si>
  <si>
    <t xml:space="preserve">Day</t>
  </si>
  <si>
    <t xml:space="preserve">Date</t>
  </si>
  <si>
    <t xml:space="preserve">Event</t>
  </si>
  <si>
    <t xml:space="preserve">Time</t>
  </si>
  <si>
    <t xml:space="preserve">Location</t>
  </si>
  <si>
    <t xml:space="preserve">Scored?</t>
  </si>
  <si>
    <t xml:space="preserve">Short name</t>
  </si>
  <si>
    <t xml:space="preserve">Notes</t>
  </si>
  <si>
    <t xml:space="preserve">Pumpkin Painting</t>
  </si>
  <si>
    <t xml:space="preserve">12-6 PM</t>
  </si>
  <si>
    <t xml:space="preserve">GWH Breakroom (106) &amp; 109</t>
  </si>
  <si>
    <t xml:space="preserve">Yes</t>
  </si>
  <si>
    <t xml:space="preserve">Pumpkins</t>
  </si>
  <si>
    <t xml:space="preserve">PODS paint their assigned pumpkin anytime in the window</t>
  </si>
  <si>
    <t xml:space="preserve">Canned Castles Competition</t>
  </si>
  <si>
    <t xml:space="preserve">6-7 PM</t>
  </si>
  <si>
    <t xml:space="preserve">GWH 100</t>
  </si>
  <si>
    <t xml:space="preserve">Castles</t>
  </si>
  <si>
    <t xml:space="preserve">Build castles from the cans each PODS collected</t>
  </si>
  <si>
    <t xml:space="preserve">Canned Castles Can Count</t>
  </si>
  <si>
    <t xml:space="preserve">Until 6 PM</t>
  </si>
  <si>
    <t xml:space="preserve">GWH study room</t>
  </si>
  <si>
    <t xml:space="preserve">Can count</t>
  </si>
  <si>
    <t xml:space="preserve">Drop off cans by 6 PM. Write PODS name on cans. 15 min opportunity hour per can, 8 cans max</t>
  </si>
  <si>
    <t xml:space="preserve">Video Game Competition</t>
  </si>
  <si>
    <t xml:space="preserve">1-5 PM</t>
  </si>
  <si>
    <t xml:space="preserve">Games</t>
  </si>
  <si>
    <t xml:space="preserve">Mario Kart 1 PM, Smash Bros 2 PM, Gigabash 3 PM, Escapist 4 PM</t>
  </si>
  <si>
    <t xml:space="preserve">CSC Swearing-In Watch Party</t>
  </si>
  <si>
    <t xml:space="preserve">11 AM-12 PM</t>
  </si>
  <si>
    <t xml:space="preserve">No</t>
  </si>
  <si>
    <t xml:space="preserve">Watch party</t>
  </si>
  <si>
    <t xml:space="preserve">Counts for 1 training hour</t>
  </si>
  <si>
    <t xml:space="preserve">CC Spirit Day</t>
  </si>
  <si>
    <t xml:space="preserve">All day</t>
  </si>
  <si>
    <t xml:space="preserve">Anywhere</t>
  </si>
  <si>
    <t xml:space="preserve">Spirit</t>
  </si>
  <si>
    <t xml:space="preserve">Wear College Corps merch, send a pic to your PODS leader. Leaders post to pics&amp;vids by 6 PM</t>
  </si>
  <si>
    <t xml:space="preserve">Relay Race</t>
  </si>
  <si>
    <t xml:space="preserve">12-12:30 PM</t>
  </si>
  <si>
    <t xml:space="preserve">DUC Lawn</t>
  </si>
  <si>
    <t xml:space="preserve">Relay</t>
  </si>
  <si>
    <t xml:space="preserve">Bring as many PODS members as you can</t>
  </si>
  <si>
    <t xml:space="preserve">Scavenger Hunt</t>
  </si>
  <si>
    <t xml:space="preserve">Meet at GWH</t>
  </si>
  <si>
    <t xml:space="preserve">Hunt</t>
  </si>
  <si>
    <t xml:space="preserve">Clues handed out at GWH. Be at the monthly meeting by 7 PM</t>
  </si>
  <si>
    <t xml:space="preserve">Monthly Meeting Costumes</t>
  </si>
  <si>
    <t xml:space="preserve">7 PM</t>
  </si>
  <si>
    <t xml:space="preserve">Monthly Meeting</t>
  </si>
  <si>
    <t xml:space="preserve">Costumes</t>
  </si>
  <si>
    <t xml:space="preserve">Costume contest at the monthly meeting</t>
  </si>
  <si>
    <t xml:space="preserve">Groundstack Fundraiser</t>
  </si>
  <si>
    <t xml:space="preserve">6:30 AM-6 PM</t>
  </si>
  <si>
    <t xml:space="preserve">Groundstack Coffee, 3210 Pacific Ave</t>
  </si>
  <si>
    <t xml:space="preserve">Groundstack</t>
  </si>
  <si>
    <t xml:space="preserve">Mention Pacific College Corps at the register. Post proof to pics&amp;vids</t>
  </si>
  <si>
    <t xml:space="preserve">Volleyball Competition</t>
  </si>
  <si>
    <t xml:space="preserve">Volleyball</t>
  </si>
  <si>
    <t xml:space="preserve">First to 10 points wins. At least 3 people from each PODS</t>
  </si>
  <si>
    <t xml:space="preserve">PODS LEADER</t>
  </si>
  <si>
    <t xml:space="preserve">VICTORIA</t>
  </si>
  <si>
    <t xml:space="preserve">MINERVA</t>
  </si>
  <si>
    <t xml:space="preserve">BLANCA</t>
  </si>
  <si>
    <t xml:space="preserve">JESSICA</t>
  </si>
  <si>
    <t xml:space="preserve">GLENN</t>
  </si>
  <si>
    <t xml:space="preserve">MARIA</t>
  </si>
  <si>
    <t xml:space="preserve">PAUL</t>
  </si>
  <si>
    <t xml:space="preserve">MANNAT</t>
  </si>
  <si>
    <t xml:space="preserve">SUKHPREET</t>
  </si>
  <si>
    <t xml:space="preserve">NATHALIE</t>
  </si>
  <si>
    <t xml:space="preserve">EMILIO</t>
  </si>
  <si>
    <t xml:space="preserve">CRIS</t>
  </si>
  <si>
    <t xml:space="preserve">DAY 1: PUMPKIN PAINTING</t>
  </si>
  <si>
    <t xml:space="preserve">DAY 1: CANNED CASTLES COMPETITION</t>
  </si>
  <si>
    <t xml:space="preserve">DAY 1: CANNED CASTLES CAN COUNT</t>
  </si>
  <si>
    <t xml:space="preserve">DAY 2: VIDEO GAME COMPETITION</t>
  </si>
  <si>
    <t xml:space="preserve">DAY 3: CC SPIRIT DAY</t>
  </si>
  <si>
    <t xml:space="preserve">DAY 3: RELAY RACE</t>
  </si>
  <si>
    <t xml:space="preserve">DAY 4: SCAVENGER HUNT</t>
  </si>
  <si>
    <t xml:space="preserve">DAY 4: MONTHLY MEETING COSTUMES</t>
  </si>
  <si>
    <t xml:space="preserve">DAY 5: GROUNDSTACK FUNDRAISER</t>
  </si>
  <si>
    <t xml:space="preserve">DAY 5: VOLLEYBALL COMPETITION</t>
  </si>
  <si>
    <t xml:space="preserve">BONUS OR PENALTIES</t>
  </si>
  <si>
    <t xml:space="preserve">TOTAL</t>
  </si>
  <si>
    <t xml:space="preserve">RANK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</si>
</sst>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mm\ d&quot;, &quot;yyyy"/>
    <numFmt numFmtId="167" formatCode="ddd\ mmm\ d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216E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821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55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CC"/>
        <bgColor rgb="FFEDEFF7"/>
      </patternFill>
    </fill>
    <fill>
      <patternFill patternType="solid">
        <fgColor rgb="FFEDEFF7"/>
        <bgColor rgb="FFFFFFFF"/>
      </patternFill>
    </fill>
    <fill>
      <patternFill patternType="solid">
        <fgColor rgb="FF18216E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CE0"/>
      </left>
      <right style="thin">
        <color rgb="FFC9CCE0"/>
      </right>
      <top style="thin">
        <color rgb="FFC9CCE0"/>
      </top>
      <bottom style="thin">
        <color rgb="FFC9CC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DEFF7"/>
      <rgbColor rgb="FF660066"/>
      <rgbColor rgb="FFFF8080"/>
      <rgbColor rgb="FF0066CC"/>
      <rgbColor rgb="FFC9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77"/>
      <rgbColor rgb="FF969696"/>
      <rgbColor rgb="FF1821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/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 t="s">
        <v>11</v>
      </c>
    </row>
    <row r="14" customFormat="false" ht="15" hidden="false" customHeight="true" outlineLevel="0" collapsed="false">
      <c r="A14" s="3" t="s">
        <v>12</v>
      </c>
    </row>
    <row r="16" customFormat="false" ht="15" hidden="false" customHeight="true" outlineLevel="0" collapsed="false">
      <c r="A16" s="4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3" t="s">
        <v>16</v>
      </c>
    </row>
    <row r="20" customFormat="false" ht="15" hidden="false" customHeight="true" outlineLevel="0" collapsed="false">
      <c r="A20" s="3" t="s">
        <v>17</v>
      </c>
    </row>
    <row r="21" customFormat="false" ht="15" hidden="false" customHeight="true" outlineLevel="0" collapsed="false">
      <c r="A21" s="3" t="s">
        <v>18</v>
      </c>
    </row>
    <row r="22" customFormat="false" ht="15" hidden="false" customHeight="true" outlineLevel="0" collapsed="false"/>
    <row r="23" customFormat="false" ht="15" hidden="false" customHeight="true" outlineLevel="0" collapsed="false">
      <c r="A23" s="4" t="s">
        <v>19</v>
      </c>
    </row>
    <row r="24" customFormat="false" ht="15" hidden="false" customHeight="true" outlineLevel="0" collapsed="false">
      <c r="A24" s="3" t="s">
        <v>20</v>
      </c>
    </row>
    <row r="25" customFormat="false" ht="15" hidden="false" customHeight="true" outlineLevel="0" collapsed="false">
      <c r="A25" s="3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15" hidden="false" customHeight="true" outlineLevel="0" collapsed="false">
      <c r="A30" s="3" t="s">
        <v>25</v>
      </c>
    </row>
    <row r="31" customFormat="false" ht="15" hidden="false" customHeight="true" outlineLevel="0" collapsed="false">
      <c r="A31" s="3" t="s">
        <v>26</v>
      </c>
    </row>
    <row r="32" customFormat="false" ht="15" hidden="false" customHeight="true" outlineLevel="0" collapsed="false">
      <c r="A32" s="3" t="s">
        <v>27</v>
      </c>
    </row>
    <row r="33" customFormat="false" ht="15" hidden="false" customHeight="true" outlineLevel="0" collapsed="false"/>
    <row r="34" customFormat="false" ht="15" hidden="false" customHeight="true" outlineLevel="0" collapsed="false">
      <c r="A34" s="4" t="s">
        <v>28</v>
      </c>
    </row>
    <row r="35" customFormat="false" ht="15" hidden="false" customHeight="true" outlineLevel="0" collapsed="false">
      <c r="A35" s="3" t="s">
        <v>29</v>
      </c>
    </row>
    <row r="36" customFormat="false" ht="15" hidden="false" customHeight="true" outlineLevel="0" collapsed="false">
      <c r="A36" s="3" t="s">
        <v>30</v>
      </c>
    </row>
    <row r="37" customFormat="false" ht="15" hidden="false" customHeight="true" outlineLevel="0" collapsed="false">
      <c r="A37" s="3" t="s">
        <v>31</v>
      </c>
    </row>
    <row r="38" customFormat="false" ht="15" hidden="false" customHeight="true" outlineLevel="0" collapsed="false">
      <c r="A38" s="3" t="s">
        <v>32</v>
      </c>
    </row>
    <row r="40" customFormat="false" ht="15" hidden="false" customHeight="true" outlineLevel="0" collapsed="false">
      <c r="A40" s="4" t="s">
        <v>33</v>
      </c>
    </row>
    <row r="41" customFormat="false" ht="15" hidden="false" customHeight="true" outlineLevel="0" collapsed="false">
      <c r="A41" s="5" t="s">
        <v>34</v>
      </c>
    </row>
    <row r="42" customFormat="false" ht="15" hidden="false" customHeight="true" outlineLevel="0" collapsed="false">
      <c r="A42" s="6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52"/>
  </cols>
  <sheetData>
    <row r="1" customFormat="false" ht="15" hidden="false" customHeight="true" outlineLevel="0" collapsed="false">
      <c r="A1" s="7" t="s">
        <v>36</v>
      </c>
      <c r="B1" s="7" t="s">
        <v>37</v>
      </c>
      <c r="C1" s="7" t="s">
        <v>38</v>
      </c>
    </row>
    <row r="2" customFormat="false" ht="15" hidden="false" customHeight="true" outlineLevel="0" collapsed="false">
      <c r="A2" s="8" t="s">
        <v>39</v>
      </c>
      <c r="B2" s="9" t="s">
        <v>40</v>
      </c>
      <c r="C2" s="8" t="s">
        <v>41</v>
      </c>
    </row>
    <row r="3" customFormat="false" ht="15" hidden="false" customHeight="true" outlineLevel="0" collapsed="false">
      <c r="A3" s="8" t="s">
        <v>42</v>
      </c>
      <c r="B3" s="10" t="s">
        <v>43</v>
      </c>
      <c r="C3" s="8" t="s">
        <v>44</v>
      </c>
    </row>
    <row r="4" customFormat="false" ht="15" hidden="false" customHeight="true" outlineLevel="0" collapsed="false">
      <c r="A4" s="8" t="s">
        <v>45</v>
      </c>
      <c r="B4" s="9" t="s">
        <v>46</v>
      </c>
      <c r="C4" s="8" t="s">
        <v>47</v>
      </c>
    </row>
    <row r="5" customFormat="false" ht="15" hidden="false" customHeight="true" outlineLevel="0" collapsed="false">
      <c r="A5" s="8" t="s">
        <v>48</v>
      </c>
      <c r="B5" s="11" t="n">
        <v>46300</v>
      </c>
      <c r="C5" s="8" t="s">
        <v>49</v>
      </c>
    </row>
    <row r="6" customFormat="false" ht="15" hidden="false" customHeight="true" outlineLevel="0" collapsed="false">
      <c r="A6" s="8" t="s">
        <v>50</v>
      </c>
      <c r="B6" s="9" t="n">
        <v>5</v>
      </c>
      <c r="C6" s="8" t="s">
        <v>51</v>
      </c>
    </row>
    <row r="7" customFormat="false" ht="15" hidden="false" customHeight="true" outlineLevel="0" collapsed="false">
      <c r="A7" s="8" t="s">
        <v>52</v>
      </c>
      <c r="B7" s="9"/>
      <c r="C7" s="8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15"/>
    <col collapsed="false" customWidth="true" hidden="false" outlineLevel="0" max="5" min="5" style="1" width="32"/>
    <col collapsed="false" customWidth="true" hidden="false" outlineLevel="0" max="6" min="6" style="1" width="9"/>
    <col collapsed="false" customWidth="true" hidden="false" outlineLevel="0" max="7" min="7" style="1" width="14"/>
    <col collapsed="false" customWidth="true" hidden="false" outlineLevel="0" max="8" min="8" style="1" width="60"/>
  </cols>
  <sheetData>
    <row r="1" customFormat="false" ht="15" hidden="false" customHeight="true" outlineLevel="0" collapsed="false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</row>
    <row r="2" customFormat="false" ht="15" hidden="false" customHeight="true" outlineLevel="0" collapsed="false">
      <c r="A2" s="12" t="n">
        <v>1</v>
      </c>
      <c r="B2" s="13" t="n">
        <f aca="false">IF(A2="","",Settings!$B$5+A2-1)</f>
        <v>46300</v>
      </c>
      <c r="C2" s="12" t="s">
        <v>62</v>
      </c>
      <c r="D2" s="12" t="s">
        <v>63</v>
      </c>
      <c r="E2" s="12" t="s">
        <v>64</v>
      </c>
      <c r="F2" s="12" t="s">
        <v>65</v>
      </c>
      <c r="G2" s="12" t="s">
        <v>66</v>
      </c>
      <c r="H2" s="14" t="s">
        <v>67</v>
      </c>
    </row>
    <row r="3" customFormat="false" ht="15" hidden="false" customHeight="true" outlineLevel="0" collapsed="false">
      <c r="A3" s="12" t="n">
        <v>1</v>
      </c>
      <c r="B3" s="13" t="n">
        <f aca="false">IF(A3="","",Settings!$B$5+A3-1)</f>
        <v>46300</v>
      </c>
      <c r="C3" s="12" t="s">
        <v>68</v>
      </c>
      <c r="D3" s="12" t="s">
        <v>69</v>
      </c>
      <c r="E3" s="12" t="s">
        <v>70</v>
      </c>
      <c r="F3" s="12" t="s">
        <v>65</v>
      </c>
      <c r="G3" s="12" t="s">
        <v>71</v>
      </c>
      <c r="H3" s="14" t="s">
        <v>72</v>
      </c>
    </row>
    <row r="4" customFormat="false" ht="26.25" hidden="false" customHeight="true" outlineLevel="0" collapsed="false">
      <c r="A4" s="12" t="n">
        <v>1</v>
      </c>
      <c r="B4" s="13" t="n">
        <f aca="false">IF(A4="","",Settings!$B$5+A4-1)</f>
        <v>46300</v>
      </c>
      <c r="C4" s="12" t="s">
        <v>73</v>
      </c>
      <c r="D4" s="12" t="s">
        <v>74</v>
      </c>
      <c r="E4" s="12" t="s">
        <v>75</v>
      </c>
      <c r="F4" s="12" t="s">
        <v>65</v>
      </c>
      <c r="G4" s="12" t="s">
        <v>76</v>
      </c>
      <c r="H4" s="14" t="s">
        <v>77</v>
      </c>
    </row>
    <row r="5" customFormat="false" ht="26.25" hidden="false" customHeight="true" outlineLevel="0" collapsed="false">
      <c r="A5" s="12" t="n">
        <v>2</v>
      </c>
      <c r="B5" s="13" t="n">
        <f aca="false">IF(A5="","",Settings!$B$5+A5-1)</f>
        <v>46301</v>
      </c>
      <c r="C5" s="12" t="s">
        <v>78</v>
      </c>
      <c r="D5" s="12" t="s">
        <v>79</v>
      </c>
      <c r="E5" s="12" t="s">
        <v>70</v>
      </c>
      <c r="F5" s="12" t="s">
        <v>65</v>
      </c>
      <c r="G5" s="12" t="s">
        <v>80</v>
      </c>
      <c r="H5" s="14" t="s">
        <v>81</v>
      </c>
    </row>
    <row r="6" customFormat="false" ht="15" hidden="false" customHeight="true" outlineLevel="0" collapsed="false">
      <c r="A6" s="12" t="n">
        <v>3</v>
      </c>
      <c r="B6" s="13" t="n">
        <f aca="false">IF(A6="","",Settings!$B$5+A6-1)</f>
        <v>46302</v>
      </c>
      <c r="C6" s="12" t="s">
        <v>82</v>
      </c>
      <c r="D6" s="12" t="s">
        <v>83</v>
      </c>
      <c r="E6" s="12" t="s">
        <v>70</v>
      </c>
      <c r="F6" s="12" t="s">
        <v>84</v>
      </c>
      <c r="G6" s="12" t="s">
        <v>85</v>
      </c>
      <c r="H6" s="14" t="s">
        <v>86</v>
      </c>
    </row>
    <row r="7" customFormat="false" ht="26.25" hidden="false" customHeight="true" outlineLevel="0" collapsed="false">
      <c r="A7" s="12" t="n">
        <v>3</v>
      </c>
      <c r="B7" s="13" t="n">
        <f aca="false">IF(A7="","",Settings!$B$5+A7-1)</f>
        <v>46302</v>
      </c>
      <c r="C7" s="12" t="s">
        <v>87</v>
      </c>
      <c r="D7" s="12" t="s">
        <v>88</v>
      </c>
      <c r="E7" s="12" t="s">
        <v>89</v>
      </c>
      <c r="F7" s="12" t="s">
        <v>65</v>
      </c>
      <c r="G7" s="12" t="s">
        <v>90</v>
      </c>
      <c r="H7" s="14" t="s">
        <v>91</v>
      </c>
    </row>
    <row r="8" customFormat="false" ht="15" hidden="false" customHeight="true" outlineLevel="0" collapsed="false">
      <c r="A8" s="12" t="n">
        <v>3</v>
      </c>
      <c r="B8" s="13" t="n">
        <f aca="false">IF(A8="","",Settings!$B$5+A8-1)</f>
        <v>46302</v>
      </c>
      <c r="C8" s="12" t="s">
        <v>92</v>
      </c>
      <c r="D8" s="12" t="s">
        <v>93</v>
      </c>
      <c r="E8" s="12" t="s">
        <v>94</v>
      </c>
      <c r="F8" s="12" t="s">
        <v>65</v>
      </c>
      <c r="G8" s="12" t="s">
        <v>95</v>
      </c>
      <c r="H8" s="14" t="s">
        <v>96</v>
      </c>
    </row>
    <row r="9" customFormat="false" ht="15" hidden="false" customHeight="true" outlineLevel="0" collapsed="false">
      <c r="A9" s="12" t="n">
        <v>4</v>
      </c>
      <c r="B9" s="13" t="n">
        <f aca="false">IF(A9="","",Settings!$B$5+A9-1)</f>
        <v>46303</v>
      </c>
      <c r="C9" s="12" t="s">
        <v>97</v>
      </c>
      <c r="D9" s="12" t="s">
        <v>69</v>
      </c>
      <c r="E9" s="12" t="s">
        <v>98</v>
      </c>
      <c r="F9" s="12" t="s">
        <v>65</v>
      </c>
      <c r="G9" s="12" t="s">
        <v>99</v>
      </c>
      <c r="H9" s="14" t="s">
        <v>100</v>
      </c>
    </row>
    <row r="10" customFormat="false" ht="15" hidden="false" customHeight="true" outlineLevel="0" collapsed="false">
      <c r="A10" s="12" t="n">
        <v>4</v>
      </c>
      <c r="B10" s="13" t="n">
        <f aca="false">IF(A10="","",Settings!$B$5+A10-1)</f>
        <v>46303</v>
      </c>
      <c r="C10" s="12" t="s">
        <v>101</v>
      </c>
      <c r="D10" s="12" t="s">
        <v>102</v>
      </c>
      <c r="E10" s="12" t="s">
        <v>103</v>
      </c>
      <c r="F10" s="12" t="s">
        <v>65</v>
      </c>
      <c r="G10" s="12" t="s">
        <v>104</v>
      </c>
      <c r="H10" s="14" t="s">
        <v>105</v>
      </c>
    </row>
    <row r="11" customFormat="false" ht="26.25" hidden="false" customHeight="true" outlineLevel="0" collapsed="false">
      <c r="A11" s="12" t="n">
        <v>5</v>
      </c>
      <c r="B11" s="13" t="n">
        <f aca="false">IF(A11="","",Settings!$B$5+A11-1)</f>
        <v>46304</v>
      </c>
      <c r="C11" s="12" t="s">
        <v>106</v>
      </c>
      <c r="D11" s="12" t="s">
        <v>107</v>
      </c>
      <c r="E11" s="12" t="s">
        <v>108</v>
      </c>
      <c r="F11" s="12" t="s">
        <v>65</v>
      </c>
      <c r="G11" s="12" t="s">
        <v>109</v>
      </c>
      <c r="H11" s="14" t="s">
        <v>110</v>
      </c>
    </row>
    <row r="12" customFormat="false" ht="15" hidden="false" customHeight="true" outlineLevel="0" collapsed="false">
      <c r="A12" s="12" t="n">
        <v>5</v>
      </c>
      <c r="B12" s="13" t="n">
        <f aca="false">IF(A12="","",Settings!$B$5+A12-1)</f>
        <v>46304</v>
      </c>
      <c r="C12" s="12" t="s">
        <v>111</v>
      </c>
      <c r="D12" s="12" t="s">
        <v>69</v>
      </c>
      <c r="E12" s="12" t="s">
        <v>94</v>
      </c>
      <c r="F12" s="12" t="s">
        <v>65</v>
      </c>
      <c r="G12" s="12" t="s">
        <v>112</v>
      </c>
      <c r="H12" s="14" t="s">
        <v>113</v>
      </c>
    </row>
    <row r="13" customFormat="false" ht="15" hidden="false" customHeight="true" outlineLevel="0" collapsed="false">
      <c r="A13" s="9"/>
      <c r="B13" s="15" t="str">
        <f aca="false">IF(A13="","",Settings!$B$5+A13-1)</f>
        <v/>
      </c>
      <c r="C13" s="9"/>
      <c r="D13" s="9"/>
      <c r="E13" s="9"/>
      <c r="F13" s="9"/>
      <c r="G13" s="9"/>
      <c r="H13" s="9"/>
    </row>
    <row r="14" customFormat="false" ht="15" hidden="false" customHeight="true" outlineLevel="0" collapsed="false">
      <c r="A14" s="9"/>
      <c r="B14" s="15" t="str">
        <f aca="false">IF(A14="","",Settings!$B$5+A14-1)</f>
        <v/>
      </c>
      <c r="C14" s="9"/>
      <c r="D14" s="9"/>
      <c r="E14" s="9"/>
      <c r="F14" s="9"/>
      <c r="G14" s="9"/>
      <c r="H14" s="9"/>
    </row>
    <row r="15" customFormat="false" ht="15" hidden="false" customHeight="true" outlineLevel="0" collapsed="false">
      <c r="A15" s="9"/>
      <c r="B15" s="15" t="str">
        <f aca="false">IF(A15="","",Settings!$B$5+A15-1)</f>
        <v/>
      </c>
      <c r="C15" s="9"/>
      <c r="D15" s="9"/>
      <c r="E15" s="9"/>
      <c r="F15" s="9"/>
      <c r="G15" s="9"/>
      <c r="H15" s="9"/>
    </row>
    <row r="16" customFormat="false" ht="15" hidden="false" customHeight="true" outlineLevel="0" collapsed="false">
      <c r="A16" s="9"/>
      <c r="B16" s="15" t="str">
        <f aca="false">IF(A16="","",Settings!$B$5+A16-1)</f>
        <v/>
      </c>
      <c r="C16" s="9"/>
      <c r="D16" s="9"/>
      <c r="E16" s="9"/>
      <c r="F16" s="9"/>
      <c r="G16" s="9"/>
      <c r="H16" s="9"/>
    </row>
    <row r="17" customFormat="false" ht="15" hidden="false" customHeight="true" outlineLevel="0" collapsed="false">
      <c r="A17" s="9"/>
      <c r="B17" s="15" t="str">
        <f aca="false">IF(A17="","",Settings!$B$5+A17-1)</f>
        <v/>
      </c>
      <c r="C17" s="9"/>
      <c r="D17" s="9"/>
      <c r="E17" s="9"/>
      <c r="F17" s="9"/>
      <c r="G17" s="9"/>
      <c r="H17" s="9"/>
    </row>
    <row r="18" customFormat="false" ht="15" hidden="false" customHeight="true" outlineLevel="0" collapsed="false">
      <c r="A18" s="9"/>
      <c r="B18" s="15" t="str">
        <f aca="false">IF(A18="","",Settings!$B$5+A18-1)</f>
        <v/>
      </c>
      <c r="C18" s="9"/>
      <c r="D18" s="9"/>
      <c r="E18" s="9"/>
      <c r="F18" s="9"/>
      <c r="G18" s="9"/>
      <c r="H18" s="9"/>
    </row>
    <row r="19" customFormat="false" ht="15" hidden="false" customHeight="true" outlineLevel="0" collapsed="false">
      <c r="A19" s="9"/>
      <c r="B19" s="15" t="str">
        <f aca="false">IF(A19="","",Settings!$B$5+A19-1)</f>
        <v/>
      </c>
      <c r="C19" s="9"/>
      <c r="D19" s="9"/>
      <c r="E19" s="9"/>
      <c r="F19" s="9"/>
      <c r="G19" s="9"/>
      <c r="H19" s="9"/>
    </row>
    <row r="20" customFormat="false" ht="15" hidden="false" customHeight="true" outlineLevel="0" collapsed="false">
      <c r="A20" s="9"/>
      <c r="B20" s="15" t="str">
        <f aca="false">IF(A20="","",Settings!$B$5+A20-1)</f>
        <v/>
      </c>
      <c r="C20" s="9"/>
      <c r="D20" s="9"/>
      <c r="E20" s="9"/>
      <c r="F20" s="9"/>
      <c r="G20" s="9"/>
      <c r="H20" s="9"/>
    </row>
    <row r="21" customFormat="false" ht="15" hidden="false" customHeight="true" outlineLevel="0" collapsed="false">
      <c r="A21" s="9"/>
      <c r="B21" s="15" t="str">
        <f aca="false">IF(A21="","",Settings!$B$5+A21-1)</f>
        <v/>
      </c>
      <c r="C21" s="9"/>
      <c r="D21" s="9"/>
      <c r="E21" s="9"/>
      <c r="F21" s="9"/>
      <c r="G21" s="9"/>
      <c r="H21" s="9"/>
    </row>
    <row r="22" customFormat="false" ht="15" hidden="false" customHeight="true" outlineLevel="0" collapsed="false">
      <c r="A22" s="9"/>
      <c r="B22" s="15" t="str">
        <f aca="false">IF(A22="","",Settings!$B$5+A22-1)</f>
        <v/>
      </c>
      <c r="C22" s="9"/>
      <c r="D22" s="9"/>
      <c r="E22" s="9"/>
      <c r="F22" s="9"/>
      <c r="G22" s="9"/>
      <c r="H22" s="9"/>
    </row>
  </sheetData>
  <dataValidations count="1">
    <dataValidation allowBlank="true" errorStyle="stop" operator="between" showDropDown="false" showErrorMessage="false" showInputMessage="false" sqref="F2:F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3" min="2" style="1" width="12"/>
  </cols>
  <sheetData>
    <row r="1" customFormat="false" ht="15" hidden="false" customHeight="true" outlineLevel="0" collapsed="false">
      <c r="A1" s="16" t="s">
        <v>114</v>
      </c>
      <c r="B1" s="17" t="s">
        <v>115</v>
      </c>
      <c r="C1" s="17" t="s">
        <v>116</v>
      </c>
      <c r="D1" s="17" t="s">
        <v>117</v>
      </c>
      <c r="E1" s="17" t="s">
        <v>118</v>
      </c>
      <c r="F1" s="17" t="s">
        <v>119</v>
      </c>
      <c r="G1" s="17" t="s">
        <v>120</v>
      </c>
      <c r="H1" s="17" t="s">
        <v>121</v>
      </c>
      <c r="I1" s="17" t="s">
        <v>122</v>
      </c>
      <c r="J1" s="17" t="s">
        <v>123</v>
      </c>
      <c r="K1" s="17" t="s">
        <v>124</v>
      </c>
      <c r="L1" s="17" t="s">
        <v>125</v>
      </c>
      <c r="M1" s="17" t="s">
        <v>126</v>
      </c>
    </row>
    <row r="2" customFormat="false" ht="15" hidden="false" customHeight="true" outlineLevel="0" collapsed="false">
      <c r="A2" s="18" t="s">
        <v>127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customFormat="false" ht="15" hidden="false" customHeight="true" outlineLevel="0" collapsed="false">
      <c r="A3" s="18" t="s">
        <v>128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customFormat="false" ht="15" hidden="false" customHeight="true" outlineLevel="0" collapsed="false">
      <c r="A4" s="18" t="s">
        <v>129</v>
      </c>
      <c r="B4" s="19" t="n">
        <v>8</v>
      </c>
      <c r="C4" s="19"/>
      <c r="D4" s="19"/>
      <c r="E4" s="19"/>
      <c r="F4" s="19"/>
      <c r="G4" s="19" t="n">
        <v>8</v>
      </c>
      <c r="H4" s="19"/>
      <c r="I4" s="19" t="n">
        <v>16</v>
      </c>
      <c r="J4" s="19" t="n">
        <v>24</v>
      </c>
      <c r="K4" s="19"/>
      <c r="L4" s="19"/>
      <c r="M4" s="19" t="n">
        <v>8</v>
      </c>
    </row>
    <row r="5" customFormat="false" ht="15" hidden="false" customHeight="true" outlineLevel="0" collapsed="false">
      <c r="A5" s="18" t="s">
        <v>130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customFormat="false" ht="15" hidden="false" customHeight="true" outlineLevel="0" collapsed="false">
      <c r="A6" s="18" t="s">
        <v>131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customFormat="false" ht="15" hidden="false" customHeight="true" outlineLevel="0" collapsed="false">
      <c r="A7" s="18" t="s">
        <v>132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customFormat="false" ht="15" hidden="false" customHeight="true" outlineLevel="0" collapsed="false">
      <c r="A8" s="18" t="s">
        <v>133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customFormat="false" ht="15" hidden="false" customHeight="true" outlineLevel="0" collapsed="false">
      <c r="A9" s="18" t="s">
        <v>134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customFormat="false" ht="15" hidden="false" customHeight="true" outlineLevel="0" collapsed="false">
      <c r="A10" s="18" t="s">
        <v>135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customFormat="false" ht="15" hidden="false" customHeight="true" outlineLevel="0" collapsed="false">
      <c r="A11" s="18" t="s">
        <v>136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customFormat="false" ht="15" hidden="false" customHeight="true" outlineLevel="0" collapsed="false">
      <c r="A12" s="18" t="s">
        <v>137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4" customFormat="false" ht="15" hidden="false" customHeight="true" outlineLevel="0" collapsed="false">
      <c r="A14" s="18" t="s">
        <v>138</v>
      </c>
      <c r="B14" s="20" t="n">
        <f aca="false">SUM(B2:B12)</f>
        <v>8</v>
      </c>
      <c r="C14" s="20" t="n">
        <f aca="false">SUM(C2:C12)</f>
        <v>0</v>
      </c>
      <c r="D14" s="20" t="n">
        <f aca="false">SUM(D2:D12)</f>
        <v>0</v>
      </c>
      <c r="E14" s="20" t="n">
        <f aca="false">SUM(E2:E12)</f>
        <v>0</v>
      </c>
      <c r="F14" s="20" t="n">
        <f aca="false">SUM(F2:F12)</f>
        <v>0</v>
      </c>
      <c r="G14" s="20" t="n">
        <f aca="false">SUM(G2:G12)</f>
        <v>8</v>
      </c>
      <c r="H14" s="20" t="n">
        <f aca="false">SUM(H2:H12)</f>
        <v>0</v>
      </c>
      <c r="I14" s="20" t="n">
        <f aca="false">SUM(I2:I12)</f>
        <v>16</v>
      </c>
      <c r="J14" s="20" t="n">
        <f aca="false">SUM(J2:J12)</f>
        <v>24</v>
      </c>
      <c r="K14" s="20" t="n">
        <f aca="false">SUM(K2:K12)</f>
        <v>0</v>
      </c>
      <c r="L14" s="20" t="n">
        <f aca="false">SUM(L2:L12)</f>
        <v>0</v>
      </c>
      <c r="M14" s="20" t="n">
        <f aca="false">SUM(M2:M12)</f>
        <v>8</v>
      </c>
    </row>
    <row r="15" customFormat="false" ht="15" hidden="false" customHeight="true" outlineLevel="0" collapsed="false">
      <c r="A15" s="18" t="s">
        <v>139</v>
      </c>
      <c r="B15" s="20" t="n">
        <f aca="false">RANK(B14,$B$14:$M$14)</f>
        <v>3</v>
      </c>
      <c r="C15" s="20" t="n">
        <f aca="false">RANK(C14,$B$14:$M$14)</f>
        <v>6</v>
      </c>
      <c r="D15" s="20" t="n">
        <f aca="false">RANK(D14,$B$14:$M$14)</f>
        <v>6</v>
      </c>
      <c r="E15" s="20" t="n">
        <f aca="false">RANK(E14,$B$14:$M$14)</f>
        <v>6</v>
      </c>
      <c r="F15" s="20" t="n">
        <f aca="false">RANK(F14,$B$14:$M$14)</f>
        <v>6</v>
      </c>
      <c r="G15" s="20" t="n">
        <f aca="false">RANK(G14,$B$14:$M$14)</f>
        <v>3</v>
      </c>
      <c r="H15" s="20" t="n">
        <f aca="false">RANK(H14,$B$14:$M$14)</f>
        <v>6</v>
      </c>
      <c r="I15" s="20" t="n">
        <f aca="false">RANK(I14,$B$14:$M$14)</f>
        <v>2</v>
      </c>
      <c r="J15" s="20" t="n">
        <f aca="false">RANK(J14,$B$14:$M$14)</f>
        <v>1</v>
      </c>
      <c r="K15" s="20" t="n">
        <f aca="false">RANK(K14,$B$14:$M$14)</f>
        <v>6</v>
      </c>
      <c r="L15" s="20" t="n">
        <f aca="false">RANK(L14,$B$14:$M$14)</f>
        <v>6</v>
      </c>
      <c r="M15" s="20" t="n">
        <f aca="false">RANK(M14,$B$14:$M$14)</f>
        <v>3</v>
      </c>
    </row>
    <row r="17" customFormat="false" ht="15" hidden="false" customHeight="true" outlineLevel="0" collapsed="false">
      <c r="A17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2026-10-05T23:13:13Z</dcterms:created>
  <dc:creator>openpyxl</dc:creator>
  <dc:description/>
  <dc:language>en-US</dc:language>
  <cp:lastModifiedBy/>
  <dcterms:modified xsi:type="dcterms:W3CDTF">2026-10-05T23:59:43Z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